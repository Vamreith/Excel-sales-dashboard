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10" windowWidth="27800" windowHeight="12600" firstSheet="3" activeTab="4"/>
  </bookViews>
  <sheets>
    <sheet name="Arkusz1" sheetId="1" r:id="rId1"/>
    <sheet name="Arkusz2" sheetId="2" r:id="rId2"/>
    <sheet name="Arkusz5" sheetId="5" r:id="rId3"/>
    <sheet name="Readme" sheetId="10" r:id="rId4"/>
    <sheet name="Dane" sheetId="8" r:id="rId5"/>
    <sheet name="Analiza" sheetId="9" r:id="rId6"/>
    <sheet name="Raport" sheetId="7" r:id="rId7"/>
  </sheets>
  <calcPr calcId="144525" calcMode="manual"/>
  <pivotCaches>
    <pivotCache cacheId="0" r:id="rId8"/>
  </pivotCaches>
</workbook>
</file>

<file path=xl/calcChain.xml><?xml version="1.0" encoding="utf-8"?>
<calcChain xmlns="http://schemas.openxmlformats.org/spreadsheetml/2006/main">
  <c r="O14" i="7" l="1"/>
  <c r="G14" i="7"/>
  <c r="D5" i="8" l="1"/>
  <c r="D3" i="8"/>
  <c r="D6" i="8" l="1"/>
  <c r="F5" i="8"/>
  <c r="D9" i="8"/>
  <c r="F9" i="8" s="1"/>
  <c r="D8" i="8"/>
  <c r="F8" i="8" s="1"/>
  <c r="D7" i="8"/>
  <c r="F7" i="8" s="1"/>
  <c r="D4" i="8"/>
  <c r="E4" i="8" s="1"/>
  <c r="D2" i="8"/>
  <c r="F3" i="8"/>
  <c r="D10" i="8" l="1"/>
  <c r="K14" i="7"/>
  <c r="C14" i="7"/>
  <c r="F6" i="8"/>
  <c r="E6" i="8"/>
  <c r="E2" i="8"/>
  <c r="E8" i="8"/>
  <c r="E3" i="8"/>
  <c r="F2" i="8"/>
  <c r="E5" i="8"/>
  <c r="F4" i="8"/>
  <c r="E9" i="8"/>
  <c r="E7" i="8"/>
  <c r="D5" i="5"/>
  <c r="D4" i="5"/>
  <c r="E4" i="5" s="1"/>
  <c r="D6" i="5"/>
  <c r="E6" i="5" s="1"/>
  <c r="D3" i="5"/>
  <c r="E3" i="5" s="1"/>
  <c r="D2" i="5"/>
  <c r="E2" i="5" s="1"/>
  <c r="F10" i="8" l="1"/>
  <c r="D7" i="5"/>
  <c r="E5" i="5"/>
  <c r="F2" i="2"/>
  <c r="F3" i="2"/>
  <c r="F4" i="2"/>
  <c r="F5" i="2"/>
  <c r="F6" i="2"/>
  <c r="F7" i="2"/>
  <c r="F8" i="2"/>
  <c r="F9" i="2"/>
  <c r="F10" i="2"/>
  <c r="F11" i="2"/>
  <c r="E11" i="2"/>
  <c r="D12" i="2"/>
  <c r="E2" i="2"/>
  <c r="E3" i="2"/>
  <c r="E4" i="2"/>
  <c r="E5" i="2"/>
  <c r="E6" i="2"/>
  <c r="E7" i="2"/>
  <c r="E8" i="2"/>
  <c r="E9" i="2"/>
  <c r="E10" i="2"/>
  <c r="D4" i="1" l="1"/>
  <c r="D3" i="1"/>
  <c r="B9" i="1"/>
  <c r="C9" i="1"/>
  <c r="D5" i="1"/>
  <c r="D2" i="1"/>
  <c r="D8" i="1"/>
  <c r="D6" i="1"/>
  <c r="D7" i="1"/>
  <c r="D9" i="1" l="1"/>
</calcChain>
</file>

<file path=xl/sharedStrings.xml><?xml version="1.0" encoding="utf-8"?>
<sst xmlns="http://schemas.openxmlformats.org/spreadsheetml/2006/main" count="96" uniqueCount="73">
  <si>
    <t>Produkt</t>
  </si>
  <si>
    <t>Cena</t>
  </si>
  <si>
    <t>Ilość</t>
  </si>
  <si>
    <t>Chleb</t>
  </si>
  <si>
    <t>Mleko</t>
  </si>
  <si>
    <t>Kawa</t>
  </si>
  <si>
    <t>jablka</t>
  </si>
  <si>
    <t>Ryż</t>
  </si>
  <si>
    <t>Wartość</t>
  </si>
  <si>
    <t>cola</t>
  </si>
  <si>
    <t>Cola</t>
  </si>
  <si>
    <t>Ser</t>
  </si>
  <si>
    <t>Data</t>
  </si>
  <si>
    <t>Kategoria</t>
  </si>
  <si>
    <t>Opis</t>
  </si>
  <si>
    <t>Kwota</t>
  </si>
  <si>
    <t>Jedzenie</t>
  </si>
  <si>
    <t>Zakupy</t>
  </si>
  <si>
    <t>Transport</t>
  </si>
  <si>
    <t>Bilet</t>
  </si>
  <si>
    <t>Rozrywka</t>
  </si>
  <si>
    <t>Kino</t>
  </si>
  <si>
    <t>Restauracja</t>
  </si>
  <si>
    <t>Rachunki</t>
  </si>
  <si>
    <t>Internet</t>
  </si>
  <si>
    <t>Paliwo</t>
  </si>
  <si>
    <t>Siłownia</t>
  </si>
  <si>
    <t>Książka</t>
  </si>
  <si>
    <t>Dojazd</t>
  </si>
  <si>
    <t>Nauka</t>
  </si>
  <si>
    <t>Kawiarnia</t>
  </si>
  <si>
    <t>Trening</t>
  </si>
  <si>
    <t>Status</t>
  </si>
  <si>
    <t xml:space="preserve">          </t>
  </si>
  <si>
    <t>Elektronika</t>
  </si>
  <si>
    <t>Słuchawki</t>
  </si>
  <si>
    <t>VAT (23%)</t>
  </si>
  <si>
    <t>Masło</t>
  </si>
  <si>
    <t>Olej</t>
  </si>
  <si>
    <t>Twaróg</t>
  </si>
  <si>
    <t>Jogurt</t>
  </si>
  <si>
    <t>Razem</t>
  </si>
  <si>
    <t>Cena końcowa</t>
  </si>
  <si>
    <t>budzet ok?</t>
  </si>
  <si>
    <t>Monitor</t>
  </si>
  <si>
    <t>Klawiatura</t>
  </si>
  <si>
    <t>Mysz</t>
  </si>
  <si>
    <t>Laptop</t>
  </si>
  <si>
    <t>Pendrive</t>
  </si>
  <si>
    <t>Drukarka</t>
  </si>
  <si>
    <t>Biurko</t>
  </si>
  <si>
    <t>Krzesło</t>
  </si>
  <si>
    <t>RAPORT SPRZEDAŻY</t>
  </si>
  <si>
    <t>Średnia wartość</t>
  </si>
  <si>
    <t>Łączna sprzedaż</t>
  </si>
  <si>
    <t>Suma końcowa</t>
  </si>
  <si>
    <t>Suma z Wartość</t>
  </si>
  <si>
    <t>Suma</t>
  </si>
  <si>
    <t>----</t>
  </si>
  <si>
    <t>Zamówienia</t>
  </si>
  <si>
    <t xml:space="preserve">Łaczna liczba </t>
  </si>
  <si>
    <t>sprzedanyh sztuk</t>
  </si>
  <si>
    <t>cel:</t>
  </si>
  <si>
    <t>zastosowane elementy:</t>
  </si>
  <si>
    <t>- Odwołania strukturalne</t>
  </si>
  <si>
    <t>- Tabele Excela</t>
  </si>
  <si>
    <t>- Tabele przestawne</t>
  </si>
  <si>
    <t>- Wykres kołowy</t>
  </si>
  <si>
    <t>- Dashboard KPI</t>
  </si>
  <si>
    <t>- Formuły (SUMA, ŚREDNIA, JEŻELI, LICZ.JEŻELI)</t>
  </si>
  <si>
    <t xml:space="preserve">Analiza sprzedaży produktów oraz </t>
  </si>
  <si>
    <t>prezentacja najważniejszych wskaźników KPI.</t>
  </si>
  <si>
    <t>Dashboard sprzedaży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</si>
</sst>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zł&quot;_-;\-* #,##0.00\ &quot;zł&quot;_-;_-* &quot;-&quot;??\ &quot;zł&quot;_-;_-@_-"/>
    <numFmt numFmtId="164" formatCode="#,##0.00\ &quot;zł&quot;"/>
  </numFmts>
  <fonts count="1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22"/>
      <color theme="1"/>
      <name val="Arial"/>
      <family val="2"/>
      <charset val="238"/>
    </font>
    <font>
      <b/>
      <sz val="26"/>
      <color theme="1"/>
      <name val="Arial"/>
      <family val="2"/>
      <charset val="238"/>
    </font>
    <font>
      <sz val="18"/>
      <color theme="1"/>
      <name val="Arial"/>
      <family val="2"/>
      <charset val="238"/>
    </font>
    <font>
      <sz val="22"/>
      <color theme="1"/>
      <name val="Arial"/>
      <family val="2"/>
      <charset val="238"/>
    </font>
    <font>
      <b/>
      <sz val="18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0" fillId="0" borderId="0" xfId="0" applyFont="1"/>
    <xf numFmtId="44" fontId="2" fillId="0" borderId="0" xfId="1" applyFont="1"/>
    <xf numFmtId="44" fontId="0" fillId="0" borderId="0" xfId="1" applyFont="1"/>
    <xf numFmtId="44" fontId="0" fillId="0" borderId="0" xfId="0" applyNumberFormat="1"/>
    <xf numFmtId="44" fontId="0" fillId="0" borderId="0" xfId="0" applyNumberFormat="1" applyFont="1"/>
    <xf numFmtId="14" fontId="0" fillId="0" borderId="0" xfId="0" applyNumberFormat="1"/>
    <xf numFmtId="14" fontId="2" fillId="0" borderId="0" xfId="0" applyNumberFormat="1" applyFont="1"/>
    <xf numFmtId="164" fontId="2" fillId="0" borderId="0" xfId="0" applyNumberFormat="1" applyFont="1"/>
    <xf numFmtId="164" fontId="0" fillId="0" borderId="0" xfId="0" applyNumberFormat="1"/>
    <xf numFmtId="14" fontId="3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3" fillId="0" borderId="0" xfId="0" applyNumberFormat="1" applyFont="1"/>
    <xf numFmtId="0" fontId="4" fillId="0" borderId="0" xfId="0" applyFont="1"/>
    <xf numFmtId="164" fontId="4" fillId="0" borderId="0" xfId="2" applyNumberFormat="1" applyFont="1"/>
    <xf numFmtId="164" fontId="3" fillId="0" borderId="0" xfId="2" applyNumberFormat="1" applyFont="1"/>
    <xf numFmtId="0" fontId="3" fillId="0" borderId="0" xfId="0" quotePrefix="1" applyFont="1" applyAlignment="1">
      <alignment horizontal="center"/>
    </xf>
    <xf numFmtId="0" fontId="3" fillId="0" borderId="0" xfId="0" pivotButton="1" applyFont="1"/>
    <xf numFmtId="0" fontId="3" fillId="0" borderId="0" xfId="0" applyFont="1" applyAlignment="1">
      <alignment horizontal="left"/>
    </xf>
    <xf numFmtId="0" fontId="7" fillId="0" borderId="0" xfId="0" applyFont="1"/>
    <xf numFmtId="0" fontId="7" fillId="0" borderId="0" xfId="0" quotePrefix="1" applyFont="1"/>
    <xf numFmtId="0" fontId="9" fillId="0" borderId="0" xfId="0" applyFont="1"/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44" fontId="5" fillId="2" borderId="4" xfId="1" applyFont="1" applyFill="1" applyBorder="1" applyAlignment="1">
      <alignment horizontal="center" vertical="center"/>
    </xf>
    <xf numFmtId="44" fontId="5" fillId="2" borderId="0" xfId="1" applyFont="1" applyFill="1" applyBorder="1" applyAlignment="1">
      <alignment horizontal="center" vertical="center"/>
    </xf>
    <xf numFmtId="44" fontId="5" fillId="2" borderId="5" xfId="1" applyFont="1" applyFill="1" applyBorder="1" applyAlignment="1">
      <alignment horizontal="center" vertical="center"/>
    </xf>
    <xf numFmtId="44" fontId="5" fillId="2" borderId="6" xfId="1" applyFont="1" applyFill="1" applyBorder="1" applyAlignment="1">
      <alignment horizontal="center" vertical="center"/>
    </xf>
    <xf numFmtId="44" fontId="5" fillId="2" borderId="7" xfId="1" applyFont="1" applyFill="1" applyBorder="1" applyAlignment="1">
      <alignment horizontal="center" vertical="center"/>
    </xf>
    <xf numFmtId="44" fontId="5" fillId="2" borderId="8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</cellXfs>
  <cellStyles count="3">
    <cellStyle name="Normalny" xfId="0" builtinId="0"/>
    <cellStyle name="Procentowy" xfId="2" builtinId="5"/>
    <cellStyle name="Walutowy" xfId="1" builtinId="4"/>
  </cellStyles>
  <dxfs count="34">
    <dxf>
      <font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164" formatCode="#,##0.00\ &quot;zł&quot;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numFmt numFmtId="0" formatCode="General"/>
    </dxf>
    <dxf>
      <numFmt numFmtId="164" formatCode="#,##0.00\ &quot;zł&quot;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164" formatCode="#,##0.00\ &quot;zł&quot;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4" formatCode="#,##0.00\ &quot;zł&quot;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164" formatCode="#,##0.00\ &quot;zł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9" formatCode="dd/mm/yyyy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19" formatCode="dd/mm/yyyy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* #,##0.00\ &quot;zł&quot;_-;\-* #,##0.00\ &quot;zł&quot;_-;_-* &quot;-&quot;??\ &quot;zł&quot;_-;_-@_-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sprzedaży.xlsx]Analiza!Tabela przestawna1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pl-PL">
                <a:latin typeface="Arial" pitchFamily="34" charset="0"/>
                <a:cs typeface="Arial" pitchFamily="34" charset="0"/>
              </a:rPr>
              <a:t>Udział produktów w przychodach ze sprzedaży</a:t>
            </a:r>
          </a:p>
          <a:p>
            <a:pPr>
              <a:defRPr/>
            </a:pPr>
            <a:endParaRPr lang="pl-PL"/>
          </a:p>
        </c:rich>
      </c:tx>
      <c:layout>
        <c:manualLayout>
          <c:xMode val="edge"/>
          <c:yMode val="edge"/>
          <c:x val="0.19478795398401288"/>
          <c:y val="1.5188728651329652E-2"/>
        </c:manualLayout>
      </c:layout>
      <c:overlay val="0"/>
    </c:title>
    <c:autoTitleDeleted val="0"/>
    <c:pivotFmts>
      <c:pivotFmt>
        <c:idx val="0"/>
        <c:marker>
          <c:symbol val="none"/>
        </c:marker>
        <c:dLbl>
          <c:idx val="0"/>
          <c:layout/>
          <c:numFmt formatCode="0.00%" sourceLinked="0"/>
          <c:spPr/>
          <c:txPr>
            <a:bodyPr/>
            <a:lstStyle/>
            <a:p>
              <a:pPr>
                <a:defRPr b="1">
                  <a:latin typeface="Arial" pitchFamily="34" charset="0"/>
                  <a:cs typeface="Arial" pitchFamily="34" charset="0"/>
                </a:defRPr>
              </a:pPr>
              <a:endParaRPr lang="pl-PL"/>
            </a:p>
          </c:txPr>
          <c:showLegendKey val="0"/>
          <c:showVal val="0"/>
          <c:showCatName val="1"/>
          <c:showSerName val="0"/>
          <c:showPercent val="1"/>
          <c:showBubbleSize val="0"/>
        </c:dLbl>
      </c:pivotFmt>
      <c:pivotFmt>
        <c:idx val="1"/>
        <c:dLbl>
          <c:idx val="0"/>
          <c:layout>
            <c:manualLayout>
              <c:x val="5.6792122460065528E-2"/>
              <c:y val="5.3489380459510516E-2"/>
            </c:manualLayout>
          </c:layout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2"/>
        <c:dLbl>
          <c:idx val="0"/>
          <c:layout>
            <c:manualLayout>
              <c:x val="3.6653295197834619E-2"/>
              <c:y val="5.7541177626364376E-2"/>
            </c:manualLayout>
          </c:layout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3"/>
        <c:dLbl>
          <c:idx val="0"/>
          <c:layout>
            <c:manualLayout>
              <c:x val="3.4855668653325567E-2"/>
              <c:y val="5.7505173081562125E-2"/>
            </c:manualLayout>
          </c:layout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4"/>
        <c:dLbl>
          <c:idx val="0"/>
          <c:layout>
            <c:manualLayout>
              <c:x val="1.8569146850301716E-2"/>
              <c:y val="6.0364962640141261E-2"/>
            </c:manualLayout>
          </c:layout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5"/>
        <c:dLbl>
          <c:idx val="0"/>
          <c:layout>
            <c:manualLayout>
              <c:x val="2.303149143278168E-2"/>
              <c:y val="9.4312584014685716E-2"/>
            </c:manualLayout>
          </c:layout>
          <c:showLegendKey val="0"/>
          <c:showVal val="0"/>
          <c:showCatName val="1"/>
          <c:showSerName val="0"/>
          <c:showPercent val="1"/>
          <c:showBubbleSize val="0"/>
        </c:dLbl>
      </c:pivotFmt>
      <c:pivotFmt>
        <c:idx val="6"/>
        <c:dLbl>
          <c:idx val="0"/>
          <c:layout>
            <c:manualLayout>
              <c:x val="6.2357321629389374E-2"/>
              <c:y val="8.1823590577098856E-2"/>
            </c:manualLayout>
          </c:layout>
          <c:showLegendKey val="0"/>
          <c:showVal val="0"/>
          <c:showCatName val="1"/>
          <c:showSerName val="0"/>
          <c:showPercent val="1"/>
          <c:showBubbleSize val="0"/>
        </c:dLbl>
      </c:pivotFmt>
      <c:pivotFmt>
        <c:idx val="7"/>
        <c:dLbl>
          <c:idx val="0"/>
          <c:layout>
            <c:manualLayout>
              <c:x val="7.1620648289830266E-2"/>
              <c:y val="9.5882124399502097E-2"/>
            </c:manualLayout>
          </c:layout>
          <c:showLegendKey val="0"/>
          <c:showVal val="0"/>
          <c:showCatName val="1"/>
          <c:showSerName val="0"/>
          <c:showPercent val="1"/>
          <c:showBubbleSize val="0"/>
        </c:dLbl>
      </c:pivotFmt>
      <c:pivotFmt>
        <c:idx val="8"/>
        <c:dLbl>
          <c:idx val="0"/>
          <c:layout>
            <c:manualLayout>
              <c:x val="7.8002038739223831E-2"/>
              <c:y val="5.2564276883586003E-2"/>
            </c:manualLayout>
          </c:layout>
          <c:showLegendKey val="0"/>
          <c:showVal val="0"/>
          <c:showCatName val="1"/>
          <c:showSerName val="0"/>
          <c:showPercent val="1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0.16331055258549776"/>
          <c:y val="0.17491061793677354"/>
          <c:w val="0.57973208746713345"/>
          <c:h val="0.82508938206322646"/>
        </c:manualLayout>
      </c:layout>
      <c:pieChart>
        <c:varyColors val="1"/>
        <c:ser>
          <c:idx val="0"/>
          <c:order val="0"/>
          <c:tx>
            <c:strRef>
              <c:f>Analiza!$B$3</c:f>
              <c:strCache>
                <c:ptCount val="1"/>
                <c:pt idx="0">
                  <c:v>Suma</c:v>
                </c:pt>
              </c:strCache>
            </c:strRef>
          </c:tx>
          <c:dLbls>
            <c:dLbl>
              <c:idx val="4"/>
              <c:layout>
                <c:manualLayout>
                  <c:x val="7.8002038739223831E-2"/>
                  <c:y val="5.256427688358600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5"/>
              <c:layout>
                <c:manualLayout>
                  <c:x val="7.1620648289830266E-2"/>
                  <c:y val="9.588212439950209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6"/>
              <c:layout>
                <c:manualLayout>
                  <c:x val="6.2357321629389374E-2"/>
                  <c:y val="8.182359057709885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7"/>
              <c:layout>
                <c:manualLayout>
                  <c:x val="2.303149143278168E-2"/>
                  <c:y val="9.43125840146857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numFmt formatCode="0.00%" sourceLinked="0"/>
            <c:spPr/>
            <c:txPr>
              <a:bodyPr/>
              <a:lstStyle/>
              <a:p>
                <a:pPr>
                  <a:defRPr b="1">
                    <a:latin typeface="Arial" pitchFamily="34" charset="0"/>
                    <a:cs typeface="Arial" pitchFamily="34" charset="0"/>
                  </a:defRPr>
                </a:pPr>
                <a:endParaRPr lang="pl-P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Analiza!$A$4:$A$12</c:f>
              <c:strCache>
                <c:ptCount val="8"/>
                <c:pt idx="0">
                  <c:v>Laptop</c:v>
                </c:pt>
                <c:pt idx="1">
                  <c:v>Biurko</c:v>
                </c:pt>
                <c:pt idx="2">
                  <c:v>Krzesło</c:v>
                </c:pt>
                <c:pt idx="3">
                  <c:v>Monitor</c:v>
                </c:pt>
                <c:pt idx="4">
                  <c:v>Drukarka</c:v>
                </c:pt>
                <c:pt idx="5">
                  <c:v>Klawiatura</c:v>
                </c:pt>
                <c:pt idx="6">
                  <c:v>Pendrive</c:v>
                </c:pt>
                <c:pt idx="7">
                  <c:v>Mysz</c:v>
                </c:pt>
              </c:strCache>
            </c:strRef>
          </c:cat>
          <c:val>
            <c:numRef>
              <c:f>Analiza!$B$4:$B$12</c:f>
              <c:numCache>
                <c:formatCode>General</c:formatCode>
                <c:ptCount val="8"/>
                <c:pt idx="0">
                  <c:v>10500</c:v>
                </c:pt>
                <c:pt idx="1">
                  <c:v>2800</c:v>
                </c:pt>
                <c:pt idx="2">
                  <c:v>2750</c:v>
                </c:pt>
                <c:pt idx="3">
                  <c:v>1800</c:v>
                </c:pt>
                <c:pt idx="4">
                  <c:v>1300</c:v>
                </c:pt>
                <c:pt idx="5">
                  <c:v>960</c:v>
                </c:pt>
                <c:pt idx="6">
                  <c:v>900</c:v>
                </c:pt>
                <c:pt idx="7">
                  <c:v>800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sprzedaży.xlsx]Analiza!Tabela przestawna1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pl-PL">
                <a:latin typeface="Arial" pitchFamily="34" charset="0"/>
                <a:cs typeface="Arial" pitchFamily="34" charset="0"/>
              </a:rPr>
              <a:t>Udział produktów w przychodach ze sprzedaży</a:t>
            </a:r>
          </a:p>
          <a:p>
            <a:pPr>
              <a:defRPr/>
            </a:pPr>
            <a:endParaRPr lang="pl-PL"/>
          </a:p>
        </c:rich>
      </c:tx>
      <c:layout>
        <c:manualLayout>
          <c:xMode val="edge"/>
          <c:yMode val="edge"/>
          <c:x val="0.19478795398401288"/>
          <c:y val="1.5188728651329652E-2"/>
        </c:manualLayout>
      </c:layout>
      <c:overlay val="0"/>
    </c:title>
    <c:autoTitleDeleted val="0"/>
    <c:pivotFmts>
      <c:pivotFmt>
        <c:idx val="0"/>
        <c:marker>
          <c:symbol val="none"/>
        </c:marker>
        <c:dLbl>
          <c:idx val="0"/>
          <c:numFmt formatCode="0.00%" sourceLinked="0"/>
          <c:spPr/>
          <c:txPr>
            <a:bodyPr/>
            <a:lstStyle/>
            <a:p>
              <a:pPr>
                <a:defRPr/>
              </a:pPr>
              <a:endParaRPr lang="pl-PL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1"/>
        <c:dLbl>
          <c:idx val="0"/>
          <c:layout>
            <c:manualLayout>
              <c:x val="5.6792122460065528E-2"/>
              <c:y val="5.3489380459510516E-2"/>
            </c:manualLayout>
          </c:layout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2"/>
        <c:dLbl>
          <c:idx val="0"/>
          <c:layout>
            <c:manualLayout>
              <c:x val="3.6653295197834619E-2"/>
              <c:y val="5.7541177626364376E-2"/>
            </c:manualLayout>
          </c:layout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3"/>
        <c:dLbl>
          <c:idx val="0"/>
          <c:layout>
            <c:manualLayout>
              <c:x val="3.4855668653325567E-2"/>
              <c:y val="5.7505173081562125E-2"/>
            </c:manualLayout>
          </c:layout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4"/>
        <c:dLbl>
          <c:idx val="0"/>
          <c:layout>
            <c:manualLayout>
              <c:x val="1.8569146850301716E-2"/>
              <c:y val="6.0364962640141261E-2"/>
            </c:manualLayout>
          </c:layout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5"/>
        <c:dLbl>
          <c:idx val="0"/>
          <c:layout>
            <c:manualLayout>
              <c:x val="2.5049866339449785E-2"/>
              <c:y val="0.11427569156317682"/>
            </c:manualLayout>
          </c:layout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6"/>
        <c:dLbl>
          <c:idx val="0"/>
          <c:layout>
            <c:manualLayout>
              <c:x val="4.8229089127277851E-2"/>
              <c:y val="8.5150775168514034E-2"/>
            </c:manualLayout>
          </c:layout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7"/>
        <c:dLbl>
          <c:idx val="0"/>
          <c:layout>
            <c:manualLayout>
              <c:x val="4.9418313482719876E-2"/>
              <c:y val="6.5937463076765485E-2"/>
            </c:manualLayout>
          </c:layout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8"/>
        <c:marker>
          <c:symbol val="none"/>
        </c:marker>
        <c:dLbl>
          <c:idx val="0"/>
          <c:numFmt formatCode="0.00%" sourceLinked="0"/>
          <c:spPr/>
          <c:txPr>
            <a:bodyPr/>
            <a:lstStyle/>
            <a:p>
              <a:pPr>
                <a:defRPr/>
              </a:pPr>
              <a:endParaRPr lang="pl-PL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9"/>
        <c:dLbl>
          <c:idx val="0"/>
          <c:layout>
            <c:manualLayout>
              <c:x val="4.9418313482719876E-2"/>
              <c:y val="6.5937463076765485E-2"/>
            </c:manualLayout>
          </c:layout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10"/>
        <c:dLbl>
          <c:idx val="0"/>
          <c:layout>
            <c:manualLayout>
              <c:x val="4.8229089127277851E-2"/>
              <c:y val="8.5150775168514034E-2"/>
            </c:manualLayout>
          </c:layout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11"/>
        <c:dLbl>
          <c:idx val="0"/>
          <c:layout>
            <c:manualLayout>
              <c:x val="2.5049866339449785E-2"/>
              <c:y val="0.11427569156317682"/>
            </c:manualLayout>
          </c:layout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12"/>
        <c:marker>
          <c:symbol val="none"/>
        </c:marker>
        <c:dLbl>
          <c:idx val="0"/>
          <c:layout/>
          <c:numFmt formatCode="0.00%" sourceLinked="0"/>
          <c:spPr/>
          <c:txPr>
            <a:bodyPr/>
            <a:lstStyle/>
            <a:p>
              <a:pPr>
                <a:defRPr b="1">
                  <a:latin typeface="Arial" pitchFamily="34" charset="0"/>
                  <a:cs typeface="Arial" pitchFamily="34" charset="0"/>
                </a:defRPr>
              </a:pPr>
              <a:endParaRPr lang="pl-PL"/>
            </a:p>
          </c:txPr>
          <c:showLegendKey val="0"/>
          <c:showVal val="0"/>
          <c:showCatName val="1"/>
          <c:showSerName val="0"/>
          <c:showPercent val="1"/>
          <c:showBubbleSize val="0"/>
        </c:dLbl>
      </c:pivotFmt>
      <c:pivotFmt>
        <c:idx val="13"/>
        <c:dLbl>
          <c:idx val="0"/>
          <c:layout>
            <c:manualLayout>
              <c:x val="7.1805599669495332E-2"/>
              <c:y val="9.3128895369127371E-2"/>
            </c:manualLayout>
          </c:layout>
          <c:showLegendKey val="0"/>
          <c:showVal val="0"/>
          <c:showCatName val="1"/>
          <c:showSerName val="0"/>
          <c:showPercent val="1"/>
          <c:showBubbleSize val="0"/>
        </c:dLbl>
      </c:pivotFmt>
      <c:pivotFmt>
        <c:idx val="14"/>
        <c:dLbl>
          <c:idx val="0"/>
          <c:layout>
            <c:manualLayout>
              <c:x val="4.8229089127277851E-2"/>
              <c:y val="8.5150775168514034E-2"/>
            </c:manualLayout>
          </c:layout>
          <c:showLegendKey val="0"/>
          <c:showVal val="0"/>
          <c:showCatName val="1"/>
          <c:showSerName val="0"/>
          <c:showPercent val="1"/>
          <c:showBubbleSize val="0"/>
        </c:dLbl>
      </c:pivotFmt>
      <c:pivotFmt>
        <c:idx val="15"/>
        <c:dLbl>
          <c:idx val="0"/>
          <c:layout>
            <c:manualLayout>
              <c:x val="1.4873671386956231E-2"/>
              <c:y val="0.11427575841271269"/>
            </c:manualLayout>
          </c:layout>
          <c:showLegendKey val="0"/>
          <c:showVal val="0"/>
          <c:showCatName val="1"/>
          <c:showSerName val="0"/>
          <c:showPercent val="1"/>
          <c:showBubbleSize val="0"/>
        </c:dLbl>
      </c:pivotFmt>
      <c:pivotFmt>
        <c:idx val="16"/>
        <c:dLbl>
          <c:idx val="0"/>
          <c:layout>
            <c:manualLayout>
              <c:x val="7.8186772313631997E-2"/>
              <c:y val="7.9551439747698904E-2"/>
            </c:manualLayout>
          </c:layout>
          <c:showLegendKey val="0"/>
          <c:showVal val="0"/>
          <c:showCatName val="1"/>
          <c:showSerName val="0"/>
          <c:showPercent val="1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0.24969851986028291"/>
          <c:y val="0.11424606970301518"/>
          <c:w val="0.46514146711806281"/>
          <c:h val="0.80625313925697006"/>
        </c:manualLayout>
      </c:layout>
      <c:pieChart>
        <c:varyColors val="1"/>
        <c:ser>
          <c:idx val="0"/>
          <c:order val="0"/>
          <c:tx>
            <c:strRef>
              <c:f>Analiza!$B$3</c:f>
              <c:strCache>
                <c:ptCount val="1"/>
                <c:pt idx="0">
                  <c:v>Suma</c:v>
                </c:pt>
              </c:strCache>
            </c:strRef>
          </c:tx>
          <c:dLbls>
            <c:dLbl>
              <c:idx val="4"/>
              <c:layout>
                <c:manualLayout>
                  <c:x val="7.8186772313631997E-2"/>
                  <c:y val="7.95514397476989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5"/>
              <c:layout>
                <c:manualLayout>
                  <c:x val="7.1805599669495332E-2"/>
                  <c:y val="9.312889536912737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6"/>
              <c:layout>
                <c:manualLayout>
                  <c:x val="4.8229089127277851E-2"/>
                  <c:y val="8.515077516851403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7"/>
              <c:layout>
                <c:manualLayout>
                  <c:x val="1.4873671386956231E-2"/>
                  <c:y val="0.114275758412712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numFmt formatCode="0.00%" sourceLinked="0"/>
            <c:spPr/>
            <c:txPr>
              <a:bodyPr/>
              <a:lstStyle/>
              <a:p>
                <a:pPr>
                  <a:defRPr b="1">
                    <a:latin typeface="Arial" pitchFamily="34" charset="0"/>
                    <a:cs typeface="Arial" pitchFamily="34" charset="0"/>
                  </a:defRPr>
                </a:pPr>
                <a:endParaRPr lang="pl-P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Analiza!$A$4:$A$12</c:f>
              <c:strCache>
                <c:ptCount val="8"/>
                <c:pt idx="0">
                  <c:v>Laptop</c:v>
                </c:pt>
                <c:pt idx="1">
                  <c:v>Biurko</c:v>
                </c:pt>
                <c:pt idx="2">
                  <c:v>Krzesło</c:v>
                </c:pt>
                <c:pt idx="3">
                  <c:v>Monitor</c:v>
                </c:pt>
                <c:pt idx="4">
                  <c:v>Drukarka</c:v>
                </c:pt>
                <c:pt idx="5">
                  <c:v>Klawiatura</c:v>
                </c:pt>
                <c:pt idx="6">
                  <c:v>Pendrive</c:v>
                </c:pt>
                <c:pt idx="7">
                  <c:v>Mysz</c:v>
                </c:pt>
              </c:strCache>
            </c:strRef>
          </c:cat>
          <c:val>
            <c:numRef>
              <c:f>Analiza!$B$4:$B$12</c:f>
              <c:numCache>
                <c:formatCode>General</c:formatCode>
                <c:ptCount val="8"/>
                <c:pt idx="0">
                  <c:v>10500</c:v>
                </c:pt>
                <c:pt idx="1">
                  <c:v>2800</c:v>
                </c:pt>
                <c:pt idx="2">
                  <c:v>2750</c:v>
                </c:pt>
                <c:pt idx="3">
                  <c:v>1800</c:v>
                </c:pt>
                <c:pt idx="4">
                  <c:v>1300</c:v>
                </c:pt>
                <c:pt idx="5">
                  <c:v>960</c:v>
                </c:pt>
                <c:pt idx="6">
                  <c:v>900</c:v>
                </c:pt>
                <c:pt idx="7">
                  <c:v>800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481212</xdr:colOff>
      <xdr:row>7</xdr:row>
      <xdr:rowOff>10480</xdr:rowOff>
    </xdr:from>
    <xdr:to>
      <xdr:col>15</xdr:col>
      <xdr:colOff>92031</xdr:colOff>
      <xdr:row>28</xdr:row>
      <xdr:rowOff>956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</xdr:colOff>
      <xdr:row>19</xdr:row>
      <xdr:rowOff>134471</xdr:rowOff>
    </xdr:from>
    <xdr:to>
      <xdr:col>17</xdr:col>
      <xdr:colOff>7471</xdr:colOff>
      <xdr:row>45</xdr:row>
      <xdr:rowOff>97118</xdr:rowOff>
    </xdr:to>
    <xdr:graphicFrame macro="">
      <xdr:nvGraphicFramePr>
        <xdr:cNvPr id="2" name="Wykres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acper Półtorak" refreshedDate="46207.966332060183" createdVersion="4" refreshedVersion="4" minRefreshableVersion="3" recordCount="8">
  <cacheSource type="worksheet">
    <worksheetSource name="Sprzedaz"/>
  </cacheSource>
  <cacheFields count="6">
    <cacheField name="Produkt" numFmtId="0">
      <sharedItems count="8">
        <s v="Pendrive"/>
        <s v="Mysz"/>
        <s v="Klawiatura"/>
        <s v="Krzesło"/>
        <s v="Biurko"/>
        <s v="Laptop"/>
        <s v="Drukarka"/>
        <s v="Monitor"/>
      </sharedItems>
    </cacheField>
    <cacheField name="Cena" numFmtId="0">
      <sharedItems containsSemiMixedTypes="0" containsString="0" containsNumber="1" containsInteger="1" minValue="45" maxValue="3500"/>
    </cacheField>
    <cacheField name="Ilość" numFmtId="0">
      <sharedItems containsSemiMixedTypes="0" containsString="0" containsNumber="1" containsInteger="1" minValue="2" maxValue="20"/>
    </cacheField>
    <cacheField name="Wartość" numFmtId="0">
      <sharedItems containsSemiMixedTypes="0" containsString="0" containsNumber="1" containsInteger="1" minValue="800" maxValue="10500"/>
    </cacheField>
    <cacheField name="Status" numFmtId="0">
      <sharedItems count="2">
        <s v="Małe zamówienie"/>
        <s v="Duże zamówienie"/>
      </sharedItems>
    </cacheField>
    <cacheField name="VAT (23%)" numFmtId="164">
      <sharedItems containsSemiMixedTypes="0" containsString="0" containsNumber="1" minValue="184" maxValue="24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x v="0"/>
    <n v="45"/>
    <n v="20"/>
    <n v="900"/>
    <x v="0"/>
    <n v="207"/>
  </r>
  <r>
    <x v="1"/>
    <n v="80"/>
    <n v="10"/>
    <n v="800"/>
    <x v="0"/>
    <n v="184"/>
  </r>
  <r>
    <x v="2"/>
    <n v="120"/>
    <n v="8"/>
    <n v="960"/>
    <x v="0"/>
    <n v="220.8"/>
  </r>
  <r>
    <x v="3"/>
    <n v="550"/>
    <n v="5"/>
    <n v="2750"/>
    <x v="0"/>
    <n v="632.5"/>
  </r>
  <r>
    <x v="4"/>
    <n v="700"/>
    <n v="4"/>
    <n v="2800"/>
    <x v="0"/>
    <n v="644"/>
  </r>
  <r>
    <x v="5"/>
    <n v="3500"/>
    <n v="3"/>
    <n v="10500"/>
    <x v="1"/>
    <n v="2415"/>
  </r>
  <r>
    <x v="6"/>
    <n v="650"/>
    <n v="2"/>
    <n v="1300"/>
    <x v="0"/>
    <n v="299"/>
  </r>
  <r>
    <x v="7"/>
    <n v="900"/>
    <n v="2"/>
    <n v="1800"/>
    <x v="0"/>
    <n v="4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przestawna1" cacheId="0" applyNumberFormats="0" applyBorderFormats="0" applyFontFormats="0" applyPatternFormats="0" applyAlignmentFormats="0" applyWidthHeightFormats="1" dataCaption="Wartości" updatedVersion="4" minRefreshableVersion="3" useAutoFormatting="1" itemPrintTitles="1" createdVersion="4" indent="0" outline="1" outlineData="1" multipleFieldFilters="0" chartFormat="3" rowHeaderCaption="Produkt">
  <location ref="A3:B12" firstHeaderRow="1" firstDataRow="1" firstDataCol="1"/>
  <pivotFields count="6">
    <pivotField axis="axisRow" showAll="0" sortType="descending">
      <items count="9">
        <item x="0"/>
        <item x="1"/>
        <item x="7"/>
        <item x="5"/>
        <item x="3"/>
        <item x="2"/>
        <item x="6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numFmtId="164" showAll="0"/>
  </pivotFields>
  <rowFields count="1">
    <field x="0"/>
  </rowFields>
  <rowItems count="9">
    <i>
      <x v="3"/>
    </i>
    <i>
      <x v="7"/>
    </i>
    <i>
      <x v="4"/>
    </i>
    <i>
      <x v="2"/>
    </i>
    <i>
      <x v="6"/>
    </i>
    <i>
      <x v="5"/>
    </i>
    <i>
      <x/>
    </i>
    <i>
      <x v="1"/>
    </i>
    <i t="grand">
      <x/>
    </i>
  </rowItems>
  <colItems count="1">
    <i/>
  </colItems>
  <dataFields count="1">
    <dataField name="Suma z Wartość" fld="3" baseField="0" baseItem="0"/>
  </dataFields>
  <formats count="1">
    <format dxfId="0">
      <pivotArea type="all" dataOnly="0" outline="0" fieldPosition="0"/>
    </format>
  </format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ela2" displayName="Tabela2" ref="A1:D9" totalsRowCount="1" headerRowDxfId="33">
  <autoFilter ref="A1:D8"/>
  <sortState ref="A2:D8">
    <sortCondition descending="1" ref="B1:B8"/>
  </sortState>
  <tableColumns count="4">
    <tableColumn id="1" name="Produkt" totalsRowLabel="cola"/>
    <tableColumn id="2" name="Cena" totalsRowFunction="custom" totalsRowDxfId="32" dataCellStyle="Walutowy">
      <totalsRowFormula>SUM(B2:B8)</totalsRowFormula>
    </tableColumn>
    <tableColumn id="3" name="Ilość" totalsRowFunction="custom" dataDxfId="31" totalsRowDxfId="30">
      <totalsRowFormula>SUM(C2:C8)</totalsRowFormula>
    </tableColumn>
    <tableColumn id="4" name="Wartość" totalsRowFunction="custom">
      <calculatedColumnFormula>B2*C2</calculatedColumnFormula>
      <totalsRowFormula>SUM(D2:D8)</totalsRowFormula>
    </tableColumn>
  </tableColumns>
  <tableStyleInfo name="TableStyleDark3" showFirstColumn="0" showLastColumn="0" showRowStripes="1" showColumnStripes="0"/>
</table>
</file>

<file path=xl/tables/table2.xml><?xml version="1.0" encoding="utf-8"?>
<table xmlns="http://schemas.openxmlformats.org/spreadsheetml/2006/main" id="1" name="Tabela1" displayName="Tabela1" ref="A1:F12" totalsRowCount="1" headerRowDxfId="29" dataDxfId="28">
  <autoFilter ref="A1:F11"/>
  <sortState ref="A2:D6">
    <sortCondition ref="A1:A7"/>
  </sortState>
  <tableColumns count="6">
    <tableColumn id="1" name="Data" dataDxfId="27" totalsRowDxfId="26"/>
    <tableColumn id="2" name="Kategoria" dataDxfId="25" totalsRowDxfId="24"/>
    <tableColumn id="3" name="Opis" dataDxfId="23" totalsRowDxfId="22"/>
    <tableColumn id="4" name="Kwota" totalsRowFunction="custom" dataDxfId="21" totalsRowDxfId="20">
      <totalsRowFormula>SUM(D2:D11)</totalsRowFormula>
    </tableColumn>
    <tableColumn id="6" name="Status" dataDxfId="19">
      <calculatedColumnFormula>IF(D2&gt;100,"Wysoki","Niski")</calculatedColumnFormula>
    </tableColumn>
    <tableColumn id="7" name="VAT (23%)" dataDxfId="18">
      <calculatedColumnFormula>D2*23%</calculatedColumnFormula>
    </tableColumn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id="3" name="Tabela3" displayName="Tabela3" ref="A1:E7" totalsRowShown="0">
  <autoFilter ref="A1:E7"/>
  <sortState ref="A2:E7">
    <sortCondition ref="E1:E7"/>
  </sortState>
  <tableColumns count="5">
    <tableColumn id="1" name="Produkt"/>
    <tableColumn id="2" name="Ilość"/>
    <tableColumn id="3" name="Kwota"/>
    <tableColumn id="4" name="Cena końcowa" dataDxfId="17">
      <calculatedColumnFormula>B2*C2</calculatedColumnFormula>
    </tableColumn>
    <tableColumn id="5" name="budzet ok?" dataDxfId="16">
      <calculatedColumnFormula>IF(D2&gt;100,"TAK","NIE")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1" name="Sprzedaz" displayName="Sprzedaz" ref="A1:F10" totalsRowCount="1" headerRowDxfId="15" dataDxfId="14" totalsRowDxfId="13">
  <autoFilter ref="A1:F9"/>
  <sortState ref="A2:F9">
    <sortCondition ref="D1:D9"/>
  </sortState>
  <tableColumns count="6">
    <tableColumn id="1" name="Produkt" totalsRowLabel="Suma" dataDxfId="12" totalsRowDxfId="11"/>
    <tableColumn id="2" name="Cena" totalsRowLabel="----" dataDxfId="10" totalsRowDxfId="9"/>
    <tableColumn id="3" name="Ilość" totalsRowLabel="----" dataDxfId="8" totalsRowDxfId="7"/>
    <tableColumn id="4" name="Wartość" totalsRowFunction="custom" dataDxfId="6" totalsRowDxfId="5">
      <calculatedColumnFormula>B2*C2</calculatedColumnFormula>
      <totalsRowFormula>SUM(D2:D9)</totalsRowFormula>
    </tableColumn>
    <tableColumn id="5" name="Status" totalsRowLabel="----" dataDxfId="4" totalsRowDxfId="3">
      <calculatedColumnFormula>IF(D2&gt;3000,"Duże zamówienie","Małe zamówienie")</calculatedColumnFormula>
    </tableColumn>
    <tableColumn id="6" name="VAT (23%)" totalsRowFunction="sum" dataDxfId="2" totalsRowDxfId="1">
      <calculatedColumnFormula>D2*23%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A8" sqref="A8"/>
    </sheetView>
  </sheetViews>
  <sheetFormatPr defaultRowHeight="14.5" x14ac:dyDescent="0.35"/>
  <cols>
    <col min="1" max="1" width="10.26953125" bestFit="1" customWidth="1"/>
    <col min="2" max="2" width="8.81640625" style="4" bestFit="1" customWidth="1"/>
    <col min="3" max="3" width="10" bestFit="1" customWidth="1"/>
    <col min="4" max="4" width="11.26953125" bestFit="1" customWidth="1"/>
  </cols>
  <sheetData>
    <row r="1" spans="1:4" x14ac:dyDescent="0.35">
      <c r="A1" s="1" t="s">
        <v>0</v>
      </c>
      <c r="B1" s="3" t="s">
        <v>1</v>
      </c>
      <c r="C1" s="1" t="s">
        <v>2</v>
      </c>
      <c r="D1" s="1" t="s">
        <v>8</v>
      </c>
    </row>
    <row r="2" spans="1:4" ht="15" x14ac:dyDescent="0.25">
      <c r="A2" t="s">
        <v>5</v>
      </c>
      <c r="B2" s="4">
        <v>20</v>
      </c>
      <c r="C2" s="2">
        <v>2</v>
      </c>
      <c r="D2" s="5">
        <f t="shared" ref="D2:D8" si="0">B2*C2</f>
        <v>40</v>
      </c>
    </row>
    <row r="3" spans="1:4" ht="15" x14ac:dyDescent="0.25">
      <c r="A3" t="s">
        <v>11</v>
      </c>
      <c r="B3" s="4">
        <v>15</v>
      </c>
      <c r="C3" s="2">
        <v>3</v>
      </c>
      <c r="D3" s="5">
        <f t="shared" si="0"/>
        <v>45</v>
      </c>
    </row>
    <row r="4" spans="1:4" x14ac:dyDescent="0.35">
      <c r="A4" t="s">
        <v>7</v>
      </c>
      <c r="B4" s="4">
        <v>9</v>
      </c>
      <c r="C4" s="2">
        <v>2</v>
      </c>
      <c r="D4" s="5">
        <f t="shared" si="0"/>
        <v>18</v>
      </c>
    </row>
    <row r="5" spans="1:4" ht="15" x14ac:dyDescent="0.25">
      <c r="A5" t="s">
        <v>10</v>
      </c>
      <c r="B5" s="4">
        <v>7</v>
      </c>
      <c r="C5" s="2">
        <v>4</v>
      </c>
      <c r="D5" s="5">
        <f t="shared" si="0"/>
        <v>28</v>
      </c>
    </row>
    <row r="6" spans="1:4" ht="15" x14ac:dyDescent="0.25">
      <c r="A6" t="s">
        <v>4</v>
      </c>
      <c r="B6" s="4">
        <v>6</v>
      </c>
      <c r="C6" s="2">
        <v>5</v>
      </c>
      <c r="D6" s="5">
        <f t="shared" si="0"/>
        <v>30</v>
      </c>
    </row>
    <row r="7" spans="1:4" ht="15" x14ac:dyDescent="0.25">
      <c r="A7" s="2" t="s">
        <v>6</v>
      </c>
      <c r="B7" s="4">
        <v>5</v>
      </c>
      <c r="C7" s="2">
        <v>10</v>
      </c>
      <c r="D7" s="5">
        <f t="shared" si="0"/>
        <v>50</v>
      </c>
    </row>
    <row r="8" spans="1:4" ht="15" x14ac:dyDescent="0.25">
      <c r="A8" t="s">
        <v>3</v>
      </c>
      <c r="B8" s="4">
        <v>4</v>
      </c>
      <c r="C8" s="2">
        <v>3</v>
      </c>
      <c r="D8" s="5">
        <f t="shared" si="0"/>
        <v>12</v>
      </c>
    </row>
    <row r="9" spans="1:4" ht="15" x14ac:dyDescent="0.25">
      <c r="A9" t="s">
        <v>9</v>
      </c>
      <c r="B9" s="6">
        <f>SUM(B2:B8)</f>
        <v>66</v>
      </c>
      <c r="C9" s="2">
        <f>SUM(C2:C8)</f>
        <v>29</v>
      </c>
      <c r="D9">
        <f>SUM(D2:D8)</f>
        <v>223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C19" sqref="C19"/>
    </sheetView>
  </sheetViews>
  <sheetFormatPr defaultRowHeight="14.5" x14ac:dyDescent="0.35"/>
  <cols>
    <col min="1" max="1" width="11.26953125" style="7" bestFit="1" customWidth="1"/>
    <col min="2" max="2" width="11.54296875" customWidth="1"/>
    <col min="3" max="3" width="13.1796875" bestFit="1" customWidth="1"/>
    <col min="4" max="4" width="9.54296875" style="10" bestFit="1" customWidth="1"/>
  </cols>
  <sheetData>
    <row r="1" spans="1:10" ht="15" x14ac:dyDescent="0.25">
      <c r="A1" s="8" t="s">
        <v>12</v>
      </c>
      <c r="B1" s="1" t="s">
        <v>13</v>
      </c>
      <c r="C1" s="1" t="s">
        <v>14</v>
      </c>
      <c r="D1" s="9" t="s">
        <v>15</v>
      </c>
      <c r="E1" s="1" t="s">
        <v>32</v>
      </c>
      <c r="F1" s="1" t="s">
        <v>36</v>
      </c>
    </row>
    <row r="2" spans="1:10" ht="15" x14ac:dyDescent="0.25">
      <c r="A2" s="11">
        <v>46204</v>
      </c>
      <c r="B2" s="12" t="s">
        <v>16</v>
      </c>
      <c r="C2" s="12" t="s">
        <v>17</v>
      </c>
      <c r="D2" s="13">
        <v>120</v>
      </c>
      <c r="E2" s="12" t="str">
        <f t="shared" ref="E2:E10" si="0">IF(D2&gt;100,"Wysoki","Niski")</f>
        <v>Wysoki</v>
      </c>
      <c r="F2" s="13">
        <f t="shared" ref="F2:F11" si="1">D2*23%</f>
        <v>27.6</v>
      </c>
    </row>
    <row r="3" spans="1:10" ht="15" x14ac:dyDescent="0.25">
      <c r="A3" s="11">
        <v>46205</v>
      </c>
      <c r="B3" s="12" t="s">
        <v>18</v>
      </c>
      <c r="C3" s="12" t="s">
        <v>19</v>
      </c>
      <c r="D3" s="13">
        <v>15</v>
      </c>
      <c r="E3" s="12" t="str">
        <f t="shared" si="0"/>
        <v>Niski</v>
      </c>
      <c r="F3" s="13">
        <f t="shared" si="1"/>
        <v>3.45</v>
      </c>
    </row>
    <row r="4" spans="1:10" ht="15" x14ac:dyDescent="0.25">
      <c r="A4" s="11">
        <v>46206</v>
      </c>
      <c r="B4" s="12" t="s">
        <v>20</v>
      </c>
      <c r="C4" s="12" t="s">
        <v>21</v>
      </c>
      <c r="D4" s="13">
        <v>40</v>
      </c>
      <c r="E4" s="12" t="str">
        <f t="shared" si="0"/>
        <v>Niski</v>
      </c>
      <c r="F4" s="13">
        <f t="shared" si="1"/>
        <v>9.2000000000000011</v>
      </c>
    </row>
    <row r="5" spans="1:10" ht="15" x14ac:dyDescent="0.25">
      <c r="A5" s="11">
        <v>46207</v>
      </c>
      <c r="B5" s="12" t="s">
        <v>16</v>
      </c>
      <c r="C5" s="12" t="s">
        <v>22</v>
      </c>
      <c r="D5" s="13">
        <v>65</v>
      </c>
      <c r="E5" s="12" t="str">
        <f t="shared" si="0"/>
        <v>Niski</v>
      </c>
      <c r="F5" s="13">
        <f t="shared" si="1"/>
        <v>14.950000000000001</v>
      </c>
    </row>
    <row r="6" spans="1:10" ht="15" x14ac:dyDescent="0.25">
      <c r="A6" s="11">
        <v>46208</v>
      </c>
      <c r="B6" s="12" t="s">
        <v>23</v>
      </c>
      <c r="C6" s="12" t="s">
        <v>24</v>
      </c>
      <c r="D6" s="13">
        <v>80</v>
      </c>
      <c r="E6" s="12" t="str">
        <f t="shared" si="0"/>
        <v>Niski</v>
      </c>
      <c r="F6" s="13">
        <f t="shared" si="1"/>
        <v>18.400000000000002</v>
      </c>
    </row>
    <row r="7" spans="1:10" ht="15" x14ac:dyDescent="0.25">
      <c r="A7" s="11">
        <v>46209</v>
      </c>
      <c r="B7" s="12" t="s">
        <v>25</v>
      </c>
      <c r="C7" s="12" t="s">
        <v>28</v>
      </c>
      <c r="D7" s="13">
        <v>50</v>
      </c>
      <c r="E7" s="12" t="str">
        <f t="shared" si="0"/>
        <v>Niski</v>
      </c>
      <c r="F7" s="13">
        <f t="shared" si="1"/>
        <v>11.5</v>
      </c>
    </row>
    <row r="8" spans="1:10" x14ac:dyDescent="0.35">
      <c r="A8" s="11">
        <v>46210</v>
      </c>
      <c r="B8" s="12" t="s">
        <v>26</v>
      </c>
      <c r="C8" s="12" t="s">
        <v>31</v>
      </c>
      <c r="D8" s="13">
        <v>100</v>
      </c>
      <c r="E8" s="12" t="str">
        <f t="shared" si="0"/>
        <v>Niski</v>
      </c>
      <c r="F8" s="13">
        <f t="shared" si="1"/>
        <v>23</v>
      </c>
    </row>
    <row r="9" spans="1:10" x14ac:dyDescent="0.35">
      <c r="A9" s="11">
        <v>46211</v>
      </c>
      <c r="B9" s="12" t="s">
        <v>27</v>
      </c>
      <c r="C9" s="12" t="s">
        <v>29</v>
      </c>
      <c r="D9" s="13">
        <v>30</v>
      </c>
      <c r="E9" s="12" t="str">
        <f t="shared" si="0"/>
        <v>Niski</v>
      </c>
      <c r="F9" s="13">
        <f t="shared" si="1"/>
        <v>6.9</v>
      </c>
    </row>
    <row r="10" spans="1:10" x14ac:dyDescent="0.35">
      <c r="A10" s="11">
        <v>46212</v>
      </c>
      <c r="B10" s="12" t="s">
        <v>5</v>
      </c>
      <c r="C10" s="12" t="s">
        <v>30</v>
      </c>
      <c r="D10" s="13">
        <v>15</v>
      </c>
      <c r="E10" s="12" t="str">
        <f t="shared" si="0"/>
        <v>Niski</v>
      </c>
      <c r="F10" s="13">
        <f t="shared" si="1"/>
        <v>3.45</v>
      </c>
    </row>
    <row r="11" spans="1:10" x14ac:dyDescent="0.35">
      <c r="A11" s="11">
        <v>46209</v>
      </c>
      <c r="B11" s="12" t="s">
        <v>34</v>
      </c>
      <c r="C11" s="12" t="s">
        <v>35</v>
      </c>
      <c r="D11" s="13">
        <v>250</v>
      </c>
      <c r="E11" s="14" t="str">
        <f>IF(D11&gt;100,"Wysoki","Niski")</f>
        <v>Wysoki</v>
      </c>
      <c r="F11" s="13">
        <f t="shared" si="1"/>
        <v>57.5</v>
      </c>
    </row>
    <row r="12" spans="1:10" x14ac:dyDescent="0.35">
      <c r="A12" s="11"/>
      <c r="B12" s="12"/>
      <c r="C12" s="12"/>
      <c r="D12" s="13">
        <f>SUM(D2:D11)</f>
        <v>765</v>
      </c>
    </row>
    <row r="13" spans="1:10" x14ac:dyDescent="0.35">
      <c r="J13" t="s">
        <v>33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D19" sqref="D19"/>
    </sheetView>
  </sheetViews>
  <sheetFormatPr defaultRowHeight="14.5" x14ac:dyDescent="0.35"/>
  <cols>
    <col min="1" max="1" width="10.26953125" bestFit="1" customWidth="1"/>
    <col min="2" max="2" width="7.26953125" bestFit="1" customWidth="1"/>
    <col min="3" max="3" width="8.81640625" bestFit="1" customWidth="1"/>
    <col min="4" max="4" width="16.1796875" bestFit="1" customWidth="1"/>
    <col min="5" max="5" width="13" bestFit="1" customWidth="1"/>
  </cols>
  <sheetData>
    <row r="1" spans="1:5" x14ac:dyDescent="0.35">
      <c r="A1" t="s">
        <v>0</v>
      </c>
      <c r="B1" t="s">
        <v>2</v>
      </c>
      <c r="C1" t="s">
        <v>15</v>
      </c>
      <c r="D1" t="s">
        <v>42</v>
      </c>
      <c r="E1" t="s">
        <v>43</v>
      </c>
    </row>
    <row r="2" spans="1:5" ht="15" x14ac:dyDescent="0.25">
      <c r="A2" t="s">
        <v>40</v>
      </c>
      <c r="B2">
        <v>4</v>
      </c>
      <c r="C2" s="10">
        <v>2.5</v>
      </c>
      <c r="D2" s="10">
        <f>B2*C2</f>
        <v>10</v>
      </c>
      <c r="E2" t="str">
        <f>IF(D2&gt;100,"TAK","NIE")</f>
        <v>NIE</v>
      </c>
    </row>
    <row r="3" spans="1:5" x14ac:dyDescent="0.35">
      <c r="A3" t="s">
        <v>39</v>
      </c>
      <c r="B3">
        <v>8</v>
      </c>
      <c r="C3" s="10">
        <v>3</v>
      </c>
      <c r="D3" s="10">
        <f>B3*C3</f>
        <v>24</v>
      </c>
      <c r="E3" t="str">
        <f>IF(D3&gt;100,"TAK","NIE")</f>
        <v>NIE</v>
      </c>
    </row>
    <row r="4" spans="1:5" ht="15" x14ac:dyDescent="0.25">
      <c r="A4" t="s">
        <v>38</v>
      </c>
      <c r="B4">
        <v>2</v>
      </c>
      <c r="C4" s="10">
        <v>5</v>
      </c>
      <c r="D4" s="10">
        <f>B4*C4</f>
        <v>10</v>
      </c>
      <c r="E4" t="str">
        <f>IF(D4&gt;100,"TAK","NIE")</f>
        <v>NIE</v>
      </c>
    </row>
    <row r="5" spans="1:5" x14ac:dyDescent="0.35">
      <c r="A5" t="s">
        <v>37</v>
      </c>
      <c r="B5">
        <v>1</v>
      </c>
      <c r="C5" s="10">
        <v>10</v>
      </c>
      <c r="D5" s="10">
        <f>B5*C5</f>
        <v>10</v>
      </c>
      <c r="E5" t="str">
        <f>IF(D5&gt;100,"TAK","NIE")</f>
        <v>NIE</v>
      </c>
    </row>
    <row r="6" spans="1:5" x14ac:dyDescent="0.35">
      <c r="A6" t="s">
        <v>7</v>
      </c>
      <c r="B6">
        <v>6</v>
      </c>
      <c r="C6" s="10">
        <v>54</v>
      </c>
      <c r="D6" s="10">
        <f>B6*C6</f>
        <v>324</v>
      </c>
      <c r="E6" t="str">
        <f>IF(D6&gt;100,"TAK","NIE")</f>
        <v>TAK</v>
      </c>
    </row>
    <row r="7" spans="1:5" ht="15" x14ac:dyDescent="0.25">
      <c r="A7" t="s">
        <v>41</v>
      </c>
      <c r="D7" s="10">
        <f>SUM(D2:D6)</f>
        <v>378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showGridLines="0" zoomScale="85" zoomScaleNormal="85" workbookViewId="0">
      <selection activeCell="E21" sqref="E21"/>
    </sheetView>
  </sheetViews>
  <sheetFormatPr defaultRowHeight="14.5" x14ac:dyDescent="0.35"/>
  <cols>
    <col min="1" max="1" width="9.08984375" bestFit="1" customWidth="1"/>
  </cols>
  <sheetData>
    <row r="1" spans="1:8" x14ac:dyDescent="0.35">
      <c r="A1" s="24" t="s">
        <v>72</v>
      </c>
      <c r="B1" s="24"/>
      <c r="C1" s="24"/>
      <c r="D1" s="24"/>
      <c r="E1" s="24"/>
      <c r="F1" s="24"/>
      <c r="G1" s="24"/>
      <c r="H1" s="12"/>
    </row>
    <row r="2" spans="1:8" x14ac:dyDescent="0.35">
      <c r="A2" s="24"/>
      <c r="B2" s="24"/>
      <c r="C2" s="24"/>
      <c r="D2" s="24"/>
      <c r="E2" s="24"/>
      <c r="F2" s="24"/>
      <c r="G2" s="24"/>
      <c r="H2" s="12"/>
    </row>
    <row r="3" spans="1:8" x14ac:dyDescent="0.35">
      <c r="A3" s="24"/>
      <c r="B3" s="24"/>
      <c r="C3" s="24"/>
      <c r="D3" s="24"/>
      <c r="E3" s="24"/>
      <c r="F3" s="24"/>
      <c r="G3" s="24"/>
      <c r="H3" s="12"/>
    </row>
    <row r="4" spans="1:8" x14ac:dyDescent="0.35">
      <c r="A4" s="24"/>
      <c r="B4" s="24"/>
      <c r="C4" s="24"/>
      <c r="D4" s="24"/>
      <c r="E4" s="24"/>
      <c r="F4" s="24"/>
      <c r="G4" s="24"/>
      <c r="H4" s="12"/>
    </row>
    <row r="5" spans="1:8" x14ac:dyDescent="0.35">
      <c r="A5" s="12"/>
      <c r="B5" s="12"/>
      <c r="C5" s="12"/>
      <c r="D5" s="12"/>
      <c r="E5" s="12"/>
      <c r="F5" s="12"/>
      <c r="G5" s="12"/>
      <c r="H5" s="12"/>
    </row>
    <row r="6" spans="1:8" ht="22.5" x14ac:dyDescent="0.45">
      <c r="A6" s="21" t="s">
        <v>62</v>
      </c>
      <c r="B6" s="12"/>
      <c r="C6" s="12"/>
      <c r="D6" s="12"/>
      <c r="E6" s="12"/>
      <c r="F6" s="12"/>
      <c r="G6" s="12"/>
      <c r="H6" s="12"/>
    </row>
    <row r="7" spans="1:8" ht="22.5" customHeight="1" x14ac:dyDescent="0.5">
      <c r="A7" s="23" t="s">
        <v>70</v>
      </c>
      <c r="B7" s="23"/>
      <c r="C7" s="23"/>
      <c r="D7" s="23"/>
      <c r="E7" s="23"/>
      <c r="F7" s="23"/>
      <c r="G7" s="23"/>
      <c r="H7" s="23"/>
    </row>
    <row r="8" spans="1:8" ht="23" x14ac:dyDescent="0.5">
      <c r="A8" s="23" t="s">
        <v>71</v>
      </c>
      <c r="B8" s="23"/>
      <c r="C8" s="23"/>
      <c r="D8" s="23"/>
      <c r="E8" s="23"/>
      <c r="F8" s="15"/>
      <c r="G8" s="15"/>
      <c r="H8" s="15"/>
    </row>
    <row r="9" spans="1:8" x14ac:dyDescent="0.35">
      <c r="A9" s="12"/>
      <c r="B9" s="12"/>
      <c r="C9" s="12"/>
      <c r="D9" s="12"/>
      <c r="E9" s="12"/>
      <c r="F9" s="12"/>
      <c r="G9" s="12"/>
      <c r="H9" s="12"/>
    </row>
    <row r="10" spans="1:8" ht="22.5" x14ac:dyDescent="0.45">
      <c r="A10" s="21" t="s">
        <v>63</v>
      </c>
      <c r="B10" s="21"/>
      <c r="C10" s="21"/>
      <c r="D10" s="21"/>
      <c r="E10" s="21"/>
      <c r="F10" s="21"/>
      <c r="G10" s="12"/>
      <c r="H10" s="12"/>
    </row>
    <row r="11" spans="1:8" ht="22.5" x14ac:dyDescent="0.45">
      <c r="A11" s="22" t="s">
        <v>65</v>
      </c>
      <c r="B11" s="21"/>
      <c r="C11" s="21"/>
      <c r="D11" s="21"/>
      <c r="E11" s="21"/>
      <c r="F11" s="21"/>
      <c r="G11" s="12"/>
      <c r="H11" s="12"/>
    </row>
    <row r="12" spans="1:8" ht="22.5" x14ac:dyDescent="0.45">
      <c r="A12" s="22" t="s">
        <v>69</v>
      </c>
      <c r="B12" s="21"/>
      <c r="C12" s="21"/>
      <c r="D12" s="21"/>
      <c r="E12" s="21"/>
      <c r="F12" s="21"/>
      <c r="G12" s="12"/>
      <c r="H12" s="12"/>
    </row>
    <row r="13" spans="1:8" ht="22.5" x14ac:dyDescent="0.45">
      <c r="A13" s="22" t="s">
        <v>64</v>
      </c>
      <c r="B13" s="21"/>
      <c r="C13" s="21"/>
      <c r="D13" s="21"/>
      <c r="E13" s="21"/>
      <c r="F13" s="21"/>
      <c r="G13" s="12"/>
      <c r="H13" s="12"/>
    </row>
    <row r="14" spans="1:8" ht="22.5" x14ac:dyDescent="0.45">
      <c r="A14" s="22" t="s">
        <v>66</v>
      </c>
      <c r="B14" s="21"/>
      <c r="C14" s="21"/>
      <c r="D14" s="21"/>
      <c r="E14" s="21"/>
      <c r="F14" s="21"/>
      <c r="G14" s="12"/>
      <c r="H14" s="12"/>
    </row>
    <row r="15" spans="1:8" ht="22.5" x14ac:dyDescent="0.45">
      <c r="A15" s="22" t="s">
        <v>67</v>
      </c>
      <c r="B15" s="21"/>
      <c r="C15" s="21"/>
      <c r="D15" s="21"/>
      <c r="E15" s="21"/>
      <c r="F15" s="21"/>
      <c r="G15" s="12"/>
      <c r="H15" s="12"/>
    </row>
    <row r="16" spans="1:8" ht="22.5" x14ac:dyDescent="0.45">
      <c r="A16" s="22" t="s">
        <v>68</v>
      </c>
      <c r="B16" s="21"/>
      <c r="C16" s="21"/>
      <c r="D16" s="21"/>
      <c r="E16" s="21"/>
      <c r="F16" s="21"/>
      <c r="G16" s="12"/>
      <c r="H16" s="12"/>
    </row>
    <row r="17" spans="1:8" ht="22.5" x14ac:dyDescent="0.45">
      <c r="A17" s="21"/>
      <c r="B17" s="21"/>
      <c r="C17" s="21"/>
      <c r="D17" s="21"/>
      <c r="E17" s="21"/>
      <c r="F17" s="21"/>
      <c r="G17" s="12"/>
      <c r="H17" s="12"/>
    </row>
  </sheetData>
  <mergeCells count="1">
    <mergeCell ref="A1:G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E9" sqref="E9"/>
    </sheetView>
  </sheetViews>
  <sheetFormatPr defaultRowHeight="14.5" x14ac:dyDescent="0.35"/>
  <cols>
    <col min="1" max="1" width="11.81640625" bestFit="1" customWidth="1"/>
    <col min="2" max="2" width="8.54296875" bestFit="1" customWidth="1"/>
    <col min="3" max="3" width="8.453125" bestFit="1" customWidth="1"/>
    <col min="4" max="4" width="12.26953125" bestFit="1" customWidth="1"/>
    <col min="5" max="5" width="19.7265625" bestFit="1" customWidth="1"/>
    <col min="6" max="6" width="14.1796875" bestFit="1" customWidth="1"/>
  </cols>
  <sheetData>
    <row r="1" spans="1:6" x14ac:dyDescent="0.35">
      <c r="A1" s="12" t="s">
        <v>0</v>
      </c>
      <c r="B1" s="12" t="s">
        <v>1</v>
      </c>
      <c r="C1" s="12" t="s">
        <v>2</v>
      </c>
      <c r="D1" s="15" t="s">
        <v>8</v>
      </c>
      <c r="E1" s="15" t="s">
        <v>32</v>
      </c>
      <c r="F1" s="15" t="s">
        <v>36</v>
      </c>
    </row>
    <row r="2" spans="1:6" x14ac:dyDescent="0.35">
      <c r="A2" s="12" t="s">
        <v>46</v>
      </c>
      <c r="B2" s="12">
        <v>80</v>
      </c>
      <c r="C2" s="12">
        <v>10</v>
      </c>
      <c r="D2" s="15">
        <f t="shared" ref="D2:D9" si="0">B2*C2</f>
        <v>800</v>
      </c>
      <c r="E2" s="15" t="str">
        <f t="shared" ref="E2:E9" si="1">IF(D2&gt;3000,"Duże zamówienie","Małe zamówienie")</f>
        <v>Małe zamówienie</v>
      </c>
      <c r="F2" s="16">
        <f t="shared" ref="F2:F9" si="2">D2*23%</f>
        <v>184</v>
      </c>
    </row>
    <row r="3" spans="1:6" x14ac:dyDescent="0.35">
      <c r="A3" s="12" t="s">
        <v>48</v>
      </c>
      <c r="B3" s="12">
        <v>45</v>
      </c>
      <c r="C3" s="12">
        <v>20</v>
      </c>
      <c r="D3" s="12">
        <f t="shared" si="0"/>
        <v>900</v>
      </c>
      <c r="E3" s="12" t="str">
        <f t="shared" si="1"/>
        <v>Małe zamówienie</v>
      </c>
      <c r="F3" s="17">
        <f t="shared" si="2"/>
        <v>207</v>
      </c>
    </row>
    <row r="4" spans="1:6" x14ac:dyDescent="0.35">
      <c r="A4" s="12" t="s">
        <v>45</v>
      </c>
      <c r="B4" s="12">
        <v>120</v>
      </c>
      <c r="C4" s="12">
        <v>8</v>
      </c>
      <c r="D4" s="12">
        <f t="shared" si="0"/>
        <v>960</v>
      </c>
      <c r="E4" s="12" t="str">
        <f t="shared" si="1"/>
        <v>Małe zamówienie</v>
      </c>
      <c r="F4" s="17">
        <f t="shared" si="2"/>
        <v>220.8</v>
      </c>
    </row>
    <row r="5" spans="1:6" x14ac:dyDescent="0.35">
      <c r="A5" s="12" t="s">
        <v>49</v>
      </c>
      <c r="B5" s="12">
        <v>650</v>
      </c>
      <c r="C5" s="12">
        <v>2</v>
      </c>
      <c r="D5" s="12">
        <f t="shared" si="0"/>
        <v>1300</v>
      </c>
      <c r="E5" s="12" t="str">
        <f t="shared" si="1"/>
        <v>Małe zamówienie</v>
      </c>
      <c r="F5" s="17">
        <f t="shared" si="2"/>
        <v>299</v>
      </c>
    </row>
    <row r="6" spans="1:6" x14ac:dyDescent="0.35">
      <c r="A6" s="12" t="s">
        <v>44</v>
      </c>
      <c r="B6" s="12">
        <v>900</v>
      </c>
      <c r="C6" s="12">
        <v>2</v>
      </c>
      <c r="D6" s="12">
        <f t="shared" si="0"/>
        <v>1800</v>
      </c>
      <c r="E6" s="12" t="str">
        <f t="shared" si="1"/>
        <v>Małe zamówienie</v>
      </c>
      <c r="F6" s="17">
        <f t="shared" si="2"/>
        <v>414</v>
      </c>
    </row>
    <row r="7" spans="1:6" x14ac:dyDescent="0.35">
      <c r="A7" s="12" t="s">
        <v>51</v>
      </c>
      <c r="B7" s="12">
        <v>550</v>
      </c>
      <c r="C7" s="12">
        <v>5</v>
      </c>
      <c r="D7" s="12">
        <f t="shared" si="0"/>
        <v>2750</v>
      </c>
      <c r="E7" s="12" t="str">
        <f t="shared" si="1"/>
        <v>Małe zamówienie</v>
      </c>
      <c r="F7" s="17">
        <f t="shared" si="2"/>
        <v>632.5</v>
      </c>
    </row>
    <row r="8" spans="1:6" x14ac:dyDescent="0.35">
      <c r="A8" s="12" t="s">
        <v>50</v>
      </c>
      <c r="B8" s="12">
        <v>700</v>
      </c>
      <c r="C8" s="12">
        <v>4</v>
      </c>
      <c r="D8" s="12">
        <f t="shared" si="0"/>
        <v>2800</v>
      </c>
      <c r="E8" s="12" t="str">
        <f t="shared" si="1"/>
        <v>Małe zamówienie</v>
      </c>
      <c r="F8" s="17">
        <f t="shared" si="2"/>
        <v>644</v>
      </c>
    </row>
    <row r="9" spans="1:6" x14ac:dyDescent="0.35">
      <c r="A9" s="12" t="s">
        <v>47</v>
      </c>
      <c r="B9" s="12">
        <v>3500</v>
      </c>
      <c r="C9" s="12">
        <v>3</v>
      </c>
      <c r="D9" s="15">
        <f t="shared" si="0"/>
        <v>10500</v>
      </c>
      <c r="E9" s="15" t="str">
        <f t="shared" si="1"/>
        <v>Duże zamówienie</v>
      </c>
      <c r="F9" s="16">
        <f t="shared" si="2"/>
        <v>2415</v>
      </c>
    </row>
    <row r="10" spans="1:6" x14ac:dyDescent="0.35">
      <c r="A10" s="12" t="s">
        <v>57</v>
      </c>
      <c r="B10" s="18" t="s">
        <v>58</v>
      </c>
      <c r="C10" s="18" t="s">
        <v>58</v>
      </c>
      <c r="D10" s="12">
        <f>SUM(D2:D9)</f>
        <v>21810</v>
      </c>
      <c r="E10" s="18" t="s">
        <v>58</v>
      </c>
      <c r="F10" s="13">
        <f>SUBTOTAL(109,Sprzedaz[VAT (23%)])</f>
        <v>5016.3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2"/>
  <sheetViews>
    <sheetView zoomScale="115" zoomScaleNormal="115" workbookViewId="0">
      <selection activeCell="B4" sqref="B4"/>
    </sheetView>
  </sheetViews>
  <sheetFormatPr defaultRowHeight="14.5" x14ac:dyDescent="0.35"/>
  <cols>
    <col min="1" max="1" width="13.54296875" bestFit="1" customWidth="1"/>
    <col min="2" max="2" width="16.1796875" bestFit="1" customWidth="1"/>
    <col min="3" max="3" width="14.26953125" bestFit="1" customWidth="1"/>
  </cols>
  <sheetData>
    <row r="3" spans="1:2" x14ac:dyDescent="0.35">
      <c r="A3" s="19" t="s">
        <v>0</v>
      </c>
      <c r="B3" s="12" t="s">
        <v>56</v>
      </c>
    </row>
    <row r="4" spans="1:2" x14ac:dyDescent="0.35">
      <c r="A4" s="20" t="s">
        <v>47</v>
      </c>
      <c r="B4" s="14">
        <v>10500</v>
      </c>
    </row>
    <row r="5" spans="1:2" x14ac:dyDescent="0.35">
      <c r="A5" s="20" t="s">
        <v>50</v>
      </c>
      <c r="B5" s="14">
        <v>2800</v>
      </c>
    </row>
    <row r="6" spans="1:2" x14ac:dyDescent="0.35">
      <c r="A6" s="20" t="s">
        <v>51</v>
      </c>
      <c r="B6" s="14">
        <v>2750</v>
      </c>
    </row>
    <row r="7" spans="1:2" x14ac:dyDescent="0.35">
      <c r="A7" s="20" t="s">
        <v>44</v>
      </c>
      <c r="B7" s="14">
        <v>1800</v>
      </c>
    </row>
    <row r="8" spans="1:2" x14ac:dyDescent="0.35">
      <c r="A8" s="20" t="s">
        <v>49</v>
      </c>
      <c r="B8" s="14">
        <v>1300</v>
      </c>
    </row>
    <row r="9" spans="1:2" x14ac:dyDescent="0.35">
      <c r="A9" s="20" t="s">
        <v>45</v>
      </c>
      <c r="B9" s="14">
        <v>960</v>
      </c>
    </row>
    <row r="10" spans="1:2" x14ac:dyDescent="0.35">
      <c r="A10" s="20" t="s">
        <v>48</v>
      </c>
      <c r="B10" s="14">
        <v>900</v>
      </c>
    </row>
    <row r="11" spans="1:2" x14ac:dyDescent="0.35">
      <c r="A11" s="20" t="s">
        <v>46</v>
      </c>
      <c r="B11" s="14">
        <v>800</v>
      </c>
    </row>
    <row r="12" spans="1:2" x14ac:dyDescent="0.35">
      <c r="A12" s="20" t="s">
        <v>55</v>
      </c>
      <c r="B12" s="14">
        <v>21810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8:Q17"/>
  <sheetViews>
    <sheetView showGridLines="0" topLeftCell="A4" zoomScale="85" zoomScaleNormal="85" workbookViewId="0">
      <selection activeCell="G12" sqref="G12:I13"/>
    </sheetView>
  </sheetViews>
  <sheetFormatPr defaultRowHeight="14.5" x14ac:dyDescent="0.35"/>
  <cols>
    <col min="1" max="1" width="14.1796875" customWidth="1"/>
    <col min="3" max="3" width="8.7265625" customWidth="1"/>
  </cols>
  <sheetData>
    <row r="8" spans="3:17" ht="17.5" customHeight="1" x14ac:dyDescent="0.35">
      <c r="C8" s="25" t="s">
        <v>52</v>
      </c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</row>
    <row r="9" spans="3:17" ht="14.5" customHeight="1" x14ac:dyDescent="0.35"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</row>
    <row r="11" spans="3:17" ht="14.5" customHeight="1" x14ac:dyDescent="0.35"/>
    <row r="12" spans="3:17" ht="14.5" customHeight="1" x14ac:dyDescent="0.35">
      <c r="C12" s="44" t="s">
        <v>54</v>
      </c>
      <c r="D12" s="45"/>
      <c r="E12" s="46"/>
      <c r="F12" s="12"/>
      <c r="G12" s="44" t="s">
        <v>59</v>
      </c>
      <c r="H12" s="45"/>
      <c r="I12" s="46"/>
      <c r="J12" s="12"/>
      <c r="K12" s="44" t="s">
        <v>53</v>
      </c>
      <c r="L12" s="45"/>
      <c r="M12" s="46"/>
      <c r="O12" s="32" t="s">
        <v>60</v>
      </c>
      <c r="P12" s="33"/>
      <c r="Q12" s="34"/>
    </row>
    <row r="13" spans="3:17" ht="14.5" customHeight="1" x14ac:dyDescent="0.35">
      <c r="C13" s="47"/>
      <c r="D13" s="48"/>
      <c r="E13" s="49"/>
      <c r="F13" s="12"/>
      <c r="G13" s="47"/>
      <c r="H13" s="48"/>
      <c r="I13" s="49"/>
      <c r="J13" s="12"/>
      <c r="K13" s="47"/>
      <c r="L13" s="48"/>
      <c r="M13" s="49"/>
      <c r="O13" s="35" t="s">
        <v>61</v>
      </c>
      <c r="P13" s="36"/>
      <c r="Q13" s="37"/>
    </row>
    <row r="14" spans="3:17" ht="14.5" customHeight="1" x14ac:dyDescent="0.35">
      <c r="C14" s="26">
        <f>SUM(Sprzedaz[Wartość])</f>
        <v>21810</v>
      </c>
      <c r="D14" s="27"/>
      <c r="E14" s="28"/>
      <c r="F14" s="12"/>
      <c r="G14" s="38">
        <f>COUNTA(Sprzedaz[Produkt])</f>
        <v>8</v>
      </c>
      <c r="H14" s="39"/>
      <c r="I14" s="40"/>
      <c r="J14" s="12"/>
      <c r="K14" s="26">
        <f>AVERAGE(Sprzedaz[Wartość])</f>
        <v>2726.25</v>
      </c>
      <c r="L14" s="27"/>
      <c r="M14" s="28"/>
      <c r="O14" s="38">
        <f>SUM(Sprzedaz[Ilość])</f>
        <v>54</v>
      </c>
      <c r="P14" s="39"/>
      <c r="Q14" s="40"/>
    </row>
    <row r="15" spans="3:17" ht="14.5" customHeight="1" x14ac:dyDescent="0.35">
      <c r="C15" s="26"/>
      <c r="D15" s="27"/>
      <c r="E15" s="28"/>
      <c r="F15" s="12"/>
      <c r="G15" s="38"/>
      <c r="H15" s="39"/>
      <c r="I15" s="40"/>
      <c r="J15" s="12"/>
      <c r="K15" s="26"/>
      <c r="L15" s="27"/>
      <c r="M15" s="28"/>
      <c r="O15" s="38"/>
      <c r="P15" s="39"/>
      <c r="Q15" s="40"/>
    </row>
    <row r="16" spans="3:17" ht="20" customHeight="1" x14ac:dyDescent="0.35">
      <c r="C16" s="26"/>
      <c r="D16" s="27"/>
      <c r="E16" s="28"/>
      <c r="F16" s="12"/>
      <c r="G16" s="38"/>
      <c r="H16" s="39"/>
      <c r="I16" s="40"/>
      <c r="J16" s="12"/>
      <c r="K16" s="26"/>
      <c r="L16" s="27"/>
      <c r="M16" s="28"/>
      <c r="O16" s="38"/>
      <c r="P16" s="39"/>
      <c r="Q16" s="40"/>
    </row>
    <row r="17" spans="3:17" ht="20" customHeight="1" x14ac:dyDescent="0.35">
      <c r="C17" s="29"/>
      <c r="D17" s="30"/>
      <c r="E17" s="31"/>
      <c r="F17" s="12"/>
      <c r="G17" s="41"/>
      <c r="H17" s="42"/>
      <c r="I17" s="43"/>
      <c r="J17" s="12"/>
      <c r="K17" s="29"/>
      <c r="L17" s="30"/>
      <c r="M17" s="31"/>
      <c r="O17" s="41"/>
      <c r="P17" s="42"/>
      <c r="Q17" s="43"/>
    </row>
  </sheetData>
  <mergeCells count="10">
    <mergeCell ref="C8:Q9"/>
    <mergeCell ref="K14:M17"/>
    <mergeCell ref="O12:Q12"/>
    <mergeCell ref="O13:Q13"/>
    <mergeCell ref="O14:Q17"/>
    <mergeCell ref="C12:E13"/>
    <mergeCell ref="G12:I13"/>
    <mergeCell ref="C14:E17"/>
    <mergeCell ref="G14:I17"/>
    <mergeCell ref="K12:M1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Arkusz1</vt:lpstr>
      <vt:lpstr>Arkusz2</vt:lpstr>
      <vt:lpstr>Arkusz5</vt:lpstr>
      <vt:lpstr>Readme</vt:lpstr>
      <vt:lpstr>Dane</vt:lpstr>
      <vt:lpstr>Analiza</vt:lpstr>
      <vt:lpstr>Raport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Kacper Półtorak</dc:creator>
  <cp:lastModifiedBy>Kacper Półtorak</cp:lastModifiedBy>
  <dcterms:created xsi:type="dcterms:W3CDTF">2026-06-30T11:08:00Z</dcterms:created>
  <dcterms:modified xsi:type="dcterms:W3CDTF">2026-07-08T13:06:30Z</dcterms:modified>
</cp:coreProperties>
</file>